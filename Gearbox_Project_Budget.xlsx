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weave242_purdue_edu/Documents/"/>
    </mc:Choice>
  </mc:AlternateContent>
  <xr:revisionPtr revIDLastSave="175" documentId="8_{486172A7-4E65-4031-B183-D3130385D3DE}" xr6:coauthVersionLast="47" xr6:coauthVersionMax="47" xr10:uidLastSave="{383F7B27-4FA3-4272-8AFE-F057D6E934B9}"/>
  <bookViews>
    <workbookView xWindow="-108" yWindow="-108" windowWidth="23256" windowHeight="14256" firstSheet="1" activeTab="1" xr2:uid="{00D22A87-DA9D-4116-9D67-2BBAD6725650}"/>
  </bookViews>
  <sheets>
    <sheet name="By Category" sheetId="1" r:id="rId1"/>
    <sheet name="By Vend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14" i="2"/>
  <c r="D13" i="2"/>
  <c r="D5" i="2"/>
  <c r="D51" i="2"/>
  <c r="D52" i="2" s="1"/>
  <c r="D47" i="2"/>
  <c r="D48" i="2" s="1"/>
  <c r="D39" i="2"/>
  <c r="D40" i="2" s="1"/>
  <c r="D43" i="2"/>
  <c r="D44" i="2" s="1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2" i="2"/>
  <c r="D11" i="2"/>
  <c r="D10" i="2"/>
  <c r="D9" i="2"/>
  <c r="D7" i="2"/>
  <c r="D4" i="2"/>
  <c r="D3" i="2"/>
  <c r="D15" i="2" s="1"/>
  <c r="D43" i="1"/>
  <c r="D12" i="1"/>
  <c r="D19" i="1"/>
  <c r="B45" i="1" s="1"/>
  <c r="D11" i="1"/>
  <c r="D26" i="1"/>
  <c r="D23" i="1"/>
  <c r="D24" i="1"/>
  <c r="D25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2" i="1"/>
  <c r="D16" i="1"/>
  <c r="D17" i="1"/>
  <c r="D18" i="1"/>
  <c r="D4" i="1"/>
  <c r="D5" i="1"/>
  <c r="D6" i="1"/>
  <c r="D7" i="1"/>
  <c r="D8" i="1"/>
  <c r="D9" i="1"/>
  <c r="D10" i="1"/>
  <c r="D3" i="1"/>
  <c r="D36" i="2" l="1"/>
  <c r="B54" i="2" s="1"/>
</calcChain>
</file>

<file path=xl/sharedStrings.xml><?xml version="1.0" encoding="utf-8"?>
<sst xmlns="http://schemas.openxmlformats.org/spreadsheetml/2006/main" count="226" uniqueCount="69">
  <si>
    <t>Item </t>
  </si>
  <si>
    <t>Per-Unit Price</t>
  </si>
  <si>
    <t>Quantity</t>
  </si>
  <si>
    <t>Cost</t>
  </si>
  <si>
    <t>Link </t>
  </si>
  <si>
    <t>Gearbox Materials: </t>
  </si>
  <si>
    <t>Motor </t>
  </si>
  <si>
    <t>Amazon </t>
  </si>
  <si>
    <r>
      <t>Rechargeable Battery</t>
    </r>
    <r>
      <rPr>
        <sz val="11"/>
        <rFont val="Aptos"/>
        <family val="2"/>
      </rPr>
      <t> </t>
    </r>
  </si>
  <si>
    <t>Amazon  </t>
  </si>
  <si>
    <t>Actuators</t>
  </si>
  <si>
    <t>Firgelli Auto </t>
  </si>
  <si>
    <r>
      <t>Raspberry Pi</t>
    </r>
    <r>
      <rPr>
        <sz val="11"/>
        <rFont val="Aptos"/>
        <family val="2"/>
      </rPr>
      <t> </t>
    </r>
  </si>
  <si>
    <t>Wiring </t>
  </si>
  <si>
    <r>
      <t>Battery Adapter</t>
    </r>
    <r>
      <rPr>
        <sz val="11"/>
        <rFont val="Aptos"/>
        <family val="2"/>
      </rPr>
      <t> </t>
    </r>
  </si>
  <si>
    <t>Bearings </t>
  </si>
  <si>
    <t>Scooterworks </t>
  </si>
  <si>
    <t>Selector pins </t>
  </si>
  <si>
    <t>Amazon</t>
  </si>
  <si>
    <t>Stand Aluminum </t>
  </si>
  <si>
    <t>Subtotal: </t>
  </si>
  <si>
    <t>Display Case Materials: </t>
  </si>
  <si>
    <t>Felt Pads</t>
  </si>
  <si>
    <t>Aluminum Sheet Metal 12 x 12 x 1/8 (0.125") </t>
  </si>
  <si>
    <t>Wood </t>
  </si>
  <si>
    <t>Lowes </t>
  </si>
  <si>
    <t>Stand Screws </t>
  </si>
  <si>
    <t>Fastenal </t>
  </si>
  <si>
    <t>Subtotal:  </t>
  </si>
  <si>
    <t>Steering Wheel Materials: </t>
  </si>
  <si>
    <t>LCD Display Screen </t>
  </si>
  <si>
    <t>Buttons</t>
  </si>
  <si>
    <t>5mm x 5mm inserts </t>
  </si>
  <si>
    <t>Harfington </t>
  </si>
  <si>
    <t>7mm x 7mm inserts </t>
  </si>
  <si>
    <t>Walmart </t>
  </si>
  <si>
    <t>M3x16 </t>
  </si>
  <si>
    <t>M3x20 </t>
  </si>
  <si>
    <t>M3x10 </t>
  </si>
  <si>
    <t>M3x8 </t>
  </si>
  <si>
    <t>M3x5 </t>
  </si>
  <si>
    <t>M3x10mm </t>
  </si>
  <si>
    <t>M3x35mm </t>
  </si>
  <si>
    <t>M3x5mm </t>
  </si>
  <si>
    <t>M3 nuts </t>
  </si>
  <si>
    <t>M3x6x1 </t>
  </si>
  <si>
    <t>M5x8mm </t>
  </si>
  <si>
    <t>                M5x12mm </t>
  </si>
  <si>
    <t>M5x16mm </t>
  </si>
  <si>
    <t>                M5x20mm </t>
  </si>
  <si>
    <t>                M5x60mm </t>
  </si>
  <si>
    <t>M5 x 10mm (other stand screws) </t>
  </si>
  <si>
    <t>M4 x 10mm motor mount bolt </t>
  </si>
  <si>
    <t>Total: </t>
  </si>
  <si>
    <t>Amazon:</t>
  </si>
  <si>
    <t>requested</t>
  </si>
  <si>
    <t>ordered</t>
  </si>
  <si>
    <t>Wood</t>
  </si>
  <si>
    <t>&lt;--</t>
  </si>
  <si>
    <t>Fastenal:</t>
  </si>
  <si>
    <t>Firgelli Auto:</t>
  </si>
  <si>
    <t>Harfington:</t>
  </si>
  <si>
    <t>McMaster-Carr</t>
  </si>
  <si>
    <t>Scooterworks:</t>
  </si>
  <si>
    <t>Walmart:</t>
  </si>
  <si>
    <t>shipped</t>
  </si>
  <si>
    <t>in-hand</t>
  </si>
  <si>
    <t>delivered?</t>
  </si>
  <si>
    <t xml:space="preserve">delivered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</si>
</sst>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1" fontId="0" fillId="0" borderId="0" xfId="0" applyNumberFormat="1"/>
    <xf numFmtId="4" fontId="0" fillId="0" borderId="0" xfId="0" applyNumberFormat="1"/>
    <xf numFmtId="164" fontId="0" fillId="0" borderId="0" xfId="0" applyNumberFormat="1"/>
    <xf numFmtId="0" fontId="6" fillId="0" borderId="0" xfId="5"/>
    <xf numFmtId="2" fontId="0" fillId="0" borderId="0" xfId="0" applyNumberFormat="1"/>
    <xf numFmtId="0" fontId="2" fillId="0" borderId="1" xfId="1"/>
    <xf numFmtId="4" fontId="2" fillId="0" borderId="1" xfId="1" applyNumberFormat="1"/>
    <xf numFmtId="1" fontId="2" fillId="0" borderId="1" xfId="1" applyNumberFormat="1"/>
    <xf numFmtId="0" fontId="3" fillId="0" borderId="2" xfId="2"/>
    <xf numFmtId="0" fontId="1" fillId="3" borderId="0" xfId="4"/>
    <xf numFmtId="4" fontId="1" fillId="3" borderId="0" xfId="4" applyNumberFormat="1"/>
    <xf numFmtId="1" fontId="1" fillId="3" borderId="0" xfId="4" applyNumberFormat="1"/>
    <xf numFmtId="2" fontId="1" fillId="3" borderId="0" xfId="4" applyNumberFormat="1"/>
    <xf numFmtId="0" fontId="4" fillId="2" borderId="0" xfId="3"/>
    <xf numFmtId="4" fontId="4" fillId="2" borderId="0" xfId="3" applyNumberFormat="1"/>
    <xf numFmtId="1" fontId="4" fillId="2" borderId="0" xfId="3" applyNumberFormat="1"/>
    <xf numFmtId="2" fontId="4" fillId="2" borderId="0" xfId="3" applyNumberFormat="1"/>
    <xf numFmtId="0" fontId="6" fillId="3" borderId="0" xfId="5" applyFill="1"/>
    <xf numFmtId="0" fontId="0" fillId="4" borderId="0" xfId="0" applyFill="1"/>
    <xf numFmtId="4" fontId="0" fillId="4" borderId="0" xfId="0" applyNumberFormat="1" applyFill="1"/>
    <xf numFmtId="1" fontId="0" fillId="4" borderId="0" xfId="0" applyNumberFormat="1" applyFill="1"/>
    <xf numFmtId="2" fontId="0" fillId="4" borderId="0" xfId="0" applyNumberFormat="1" applyFill="1"/>
    <xf numFmtId="0" fontId="6" fillId="4" borderId="0" xfId="5" applyFill="1"/>
    <xf numFmtId="0" fontId="6" fillId="0" borderId="0" xfId="5" applyFill="1"/>
    <xf numFmtId="0" fontId="1" fillId="0" borderId="0" xfId="4" applyFill="1"/>
    <xf numFmtId="4" fontId="1" fillId="0" borderId="0" xfId="4" applyNumberFormat="1" applyFill="1"/>
    <xf numFmtId="1" fontId="1" fillId="0" borderId="0" xfId="4" applyNumberFormat="1" applyFill="1"/>
    <xf numFmtId="2" fontId="1" fillId="0" borderId="0" xfId="4" applyNumberFormat="1" applyFill="1"/>
    <xf numFmtId="0" fontId="0" fillId="0" borderId="0" xfId="0" applyAlignment="1">
      <alignment horizontal="center"/>
    </xf>
  </cellXfs>
  <cellStyles count="6">
    <cellStyle name="20% - Accent4" xfId="4" builtinId="42"/>
    <cellStyle name="Accent4" xfId="3" builtinId="41"/>
    <cellStyle name="Heading 2" xfId="1" builtinId="17"/>
    <cellStyle name="Heading 3" xfId="2" builtinId="18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dp/B0D2W5H32Y?psc=1&amp;ref_=cm_sw_r_cp_ud_ct_V6CXT111PX5BXJXVSE2Y" TargetMode="External"/><Relationship Id="rId18" Type="http://schemas.openxmlformats.org/officeDocument/2006/relationships/hyperlink" Target="https://www.fastenal.com/product/details/M42510020A20000" TargetMode="External"/><Relationship Id="rId26" Type="http://schemas.openxmlformats.org/officeDocument/2006/relationships/hyperlink" Target="https://www.fastenal.com/product/details/MW6330000A20000" TargetMode="External"/><Relationship Id="rId3" Type="http://schemas.openxmlformats.org/officeDocument/2006/relationships/hyperlink" Target="https://www.firgelliauto.com/products/micro-utility-actuator?variant=41131375231047" TargetMode="External"/><Relationship Id="rId21" Type="http://schemas.openxmlformats.org/officeDocument/2006/relationships/hyperlink" Target="https://www.fastenal.com/product/details/11511644" TargetMode="External"/><Relationship Id="rId34" Type="http://schemas.openxmlformats.org/officeDocument/2006/relationships/hyperlink" Target="https://www.amazon.com/Scotch-Round-2-Inch-Diameter-SP807-NA/dp/B01N8VO304" TargetMode="External"/><Relationship Id="rId7" Type="http://schemas.openxmlformats.org/officeDocument/2006/relationships/hyperlink" Target="https://www.scooterworks.com/products/bearing-axle-px?variant=46760365293848&amp;utm_source=bing&amp;utm_medium=cpc&amp;adpos=&amp;msclkid=4bdf28a45f67120bc77641ac99d12327&amp;utm_campaign=QT_PMAX_General_Brands%20-%20BING&amp;utm_term=2334606784269569&amp;utm_content=QT_BRANDS" TargetMode="External"/><Relationship Id="rId12" Type="http://schemas.openxmlformats.org/officeDocument/2006/relationships/hyperlink" Target="https://www.fastenal.com/product/details/0139867" TargetMode="External"/><Relationship Id="rId17" Type="http://schemas.openxmlformats.org/officeDocument/2006/relationships/hyperlink" Target="https://www.fastenal.com/product/details/XM2510016A20000" TargetMode="External"/><Relationship Id="rId25" Type="http://schemas.openxmlformats.org/officeDocument/2006/relationships/hyperlink" Target="https://www.fastenal.com/product/details/1L2510000A20000" TargetMode="External"/><Relationship Id="rId33" Type="http://schemas.openxmlformats.org/officeDocument/2006/relationships/hyperlink" Target="https://www.fastenal.com/product/details/39942" TargetMode="External"/><Relationship Id="rId2" Type="http://schemas.openxmlformats.org/officeDocument/2006/relationships/hyperlink" Target="https://a.co/d/b46eJOk" TargetMode="External"/><Relationship Id="rId16" Type="http://schemas.openxmlformats.org/officeDocument/2006/relationships/hyperlink" Target="https://www.walmart.com/ip/Knurled-Insert-Nuts-50-Pack-M5-x-7mm-L-x-7mm-OD-Brass-Heat-Set-Insert-Nuts/5379120233?affiliates_ad_id=612734&amp;campaign_id=9383&amp;irgwc=1&amp;sharedid=6080654&amp;veh=aff&amp;wmlspartner=imp_27795&amp;subid1=%7Bmsclkid%7D&amp;clickid=yhJXwgTrxxycWxewS80WpTa%3AUkpU7WV700c6xw0&amp;afsrc=1&amp;sourceid=imp_yhJXwgTrxxycWxewS80WpTa%3AUkpU7WV700c6xw0" TargetMode="External"/><Relationship Id="rId20" Type="http://schemas.openxmlformats.org/officeDocument/2006/relationships/hyperlink" Target="https://www.fastenal.com/product/details/M42510008A20000" TargetMode="External"/><Relationship Id="rId29" Type="http://schemas.openxmlformats.org/officeDocument/2006/relationships/hyperlink" Target="https://www.fastenal.com/product/details/M42540016A20000" TargetMode="External"/><Relationship Id="rId1" Type="http://schemas.openxmlformats.org/officeDocument/2006/relationships/hyperlink" Target="https://www.amazon.com/dp/B01L6EKGGQ?psc=1&amp;ref_=cm_sw_r_cp_ud_ct_82119P4MARZ1BE251HFX" TargetMode="External"/><Relationship Id="rId6" Type="http://schemas.openxmlformats.org/officeDocument/2006/relationships/hyperlink" Target="https://www.amazon.com/dp/B0BVG1HTM2?ref=cm_sw_r_cp_ud_dp_FSQV046M07J815B53DRW_1&amp;ref_=cm_sw_r_cp_ud_dp_FSQV046M07J815B53DRW_1&amp;social_share=cm_sw_r_cp_ud_dp_FSQV046M07J815B53DRW_1&amp;th=1" TargetMode="External"/><Relationship Id="rId11" Type="http://schemas.openxmlformats.org/officeDocument/2006/relationships/hyperlink" Target="https://www.lowes.com/pd/Severe-Weather-Common-2-in-x-6-in-x-12-ft-Actual-1-5-in-x-5-5-in-x-12-ft-2-Prime-Treated-Lumber/4564620" TargetMode="External"/><Relationship Id="rId24" Type="http://schemas.openxmlformats.org/officeDocument/2006/relationships/hyperlink" Target="https://www.fastenal.com/product/details/39501" TargetMode="External"/><Relationship Id="rId32" Type="http://schemas.openxmlformats.org/officeDocument/2006/relationships/hyperlink" Target="https://www.fastenal.com/product/details/1139946" TargetMode="External"/><Relationship Id="rId5" Type="http://schemas.openxmlformats.org/officeDocument/2006/relationships/hyperlink" Target="https://www.amazon.com/dp/B0BNQ9XXCZ?_encoding=UTF8&amp;ref=cm_sw_r_cp_ud_dp_DJJ3PC1PYW00CPE979WB&amp;ref_=cm_sw_r_cp_ud_dp_DJJ3PC1PYW00CPE979WB&amp;social_share=cm_sw_r_cp_ud_dp_DJJ3PC1PYW00CPE979WB&amp;th=1" TargetMode="External"/><Relationship Id="rId15" Type="http://schemas.openxmlformats.org/officeDocument/2006/relationships/hyperlink" Target="https://nam04.safelinks.protection.outlook.com/?url=https%3A%2F%2Fwww.harfington.com%2Fproducts%2Fp-1146005%3Fcurrency%3DUSD%26variant%3D42114217378041%26utm_source%3DBing%26utm_medium%3Dcpc%26utm_campaign%3DBing%2520Shopping%26stkn%3Df8e35277684b%26utm_source%3Dbing%26utm_medium%3Dcpc%26utm_campaign%3Dbs_us_hw1l%26utm_term%3DBing-shopping%26utm_content%3Dywh%26msclkid%3D18382c0ce59613cb91ef4504590d6d4c&amp;data=05%7C02%7Cande1725%40purdue.edu%7C728549b29d3a4cff787b08de1ae89c84%7C4130bd397c53419cb1e58758d6d63f21%7C1%7C0%7C638977783529128407%7CUnknown%7CTWFpbGZsb3d8eyJFbXB0eU1hcGkiOnRydWUsIlYiOiIwLjAuMDAwMCIsIlAiOiJXaW4zMiIsIkFOIjoiTWFpbCIsIldUIjoyfQ%3D%3D%7C0%7C%7C%7C&amp;sdata=SsDzFh15hwOTf0Ep3etsWv9RYFm%2FE%2FCYTW1AQMeUHvI%3D&amp;reserved=0" TargetMode="External"/><Relationship Id="rId23" Type="http://schemas.openxmlformats.org/officeDocument/2006/relationships/hyperlink" Target="https://www.fastenal.com/product/details/39510" TargetMode="External"/><Relationship Id="rId28" Type="http://schemas.openxmlformats.org/officeDocument/2006/relationships/hyperlink" Target="https://www.fastenal.com/product/details/M42530012A20000" TargetMode="External"/><Relationship Id="rId10" Type="http://schemas.openxmlformats.org/officeDocument/2006/relationships/hyperlink" Target="https://www.amazon.com/Aluminum-Thickness-Rectangle-Protective-Polished/dp/B08YFJ1JV4/ref=sr_1_4?dib=eyJ2IjoiMSJ9.6zWQeAOxtJkAj6L--drqZL7uXwP3MWX0YUvc_T9eSO-3jwt1E-cChE3F6Xb-dTD7D54xWxxhD4Z4e7yc5vPEXRBjjI-bmfsBPiDz9kj95mAt0Abb4EEijUBhc8enCQqqbOaYVKiED75tbxU7g0wee37gbodiscaRwP9sHCDYLOaQ0fmqUaqKMIMDbzlUgH9FsJACVHuTu_ijyUkDslV1yF7CjjWmAJmW9qn-FYUQ_r4.k9HfSZI4ntQTBrMssPNXjiPLGUw2vjO4AUN_vgu5ezY&amp;dib_tag=se&amp;keywords=3mm%2Baluminum%2Bsheet&amp;qid=1770646532&amp;sr=8-4&amp;th=1" TargetMode="External"/><Relationship Id="rId19" Type="http://schemas.openxmlformats.org/officeDocument/2006/relationships/hyperlink" Target="https://www.fastenal.com/product/details/M42510010A20000" TargetMode="External"/><Relationship Id="rId31" Type="http://schemas.openxmlformats.org/officeDocument/2006/relationships/hyperlink" Target="https://www.fastenal.com/product/details/M42540060A20000" TargetMode="External"/><Relationship Id="rId4" Type="http://schemas.openxmlformats.org/officeDocument/2006/relationships/hyperlink" Target="https://www.amazon.com/dp/B0F6K1X38W?psc=1&amp;ref_=cm_sw_r_cp_ud_ct_82119P4MARZ1BE251HFX_2" TargetMode="External"/><Relationship Id="rId9" Type="http://schemas.openxmlformats.org/officeDocument/2006/relationships/hyperlink" Target="https://www.amazon.com/Aluminum-Protective-Treatable-Rectangle-Industrial/dp/B0CPXGRB66/ref=sr_1_8?crid=5UB5MQ27R975&amp;dib=eyJ2IjoiMSJ9.BRy4FHC8qlRbumFRZCUiafL2930mHY1mRD-rPYkyT6TN5l909k-0s7ZCX9o84s4F_36bomO7Q2cEb9FrfyMCklnpVXaQeWqZ7hZeLr2eRuqI1MutZ6CL2wjS4QW71tGRmB-JjbD0AmGklmHGogPgJUGRsIaF_kJml9_7Dj1EUKCVUTPRaGbHgKaad_6TMN-rCSoJzke1y_81L9GNrUhRCA1w90On14Ja3NqWRm5hoHQ.6AFHXMOmIyiOslzxAFMiQTRI3eTutlAI1zdWnF3ifvI&amp;dib_tag=se&amp;keywords=aluminum%2Bplate%2B1%2F4%2Binch%2Bthick&amp;qid=1771978303&amp;sprefix=aluminum%2Bplate%2B1%2F4%2Binch%2Bthick%2Caps%2C145&amp;sr=8-8&amp;th=1" TargetMode="External"/><Relationship Id="rId14" Type="http://schemas.openxmlformats.org/officeDocument/2006/relationships/hyperlink" Target="https://www.amazon.com/dp/B09ZVGD2SL?_encoding=UTF8&amp;ref=cm_sw_r_cp_ud_dp_1JB2RVDGN1S1H2DN2Y72&amp;ref_=cm_sw_r_cp_ud_dp_1JB2RVDGN1S1H2DN2Y72&amp;social_share=cm_sw_r_cp_ud_dp_1JB2RVDGN1S1H2DN2Y72&amp;th=1" TargetMode="External"/><Relationship Id="rId22" Type="http://schemas.openxmlformats.org/officeDocument/2006/relationships/hyperlink" Target="https://www.fastenal.com/product/details/MB2510010A20000" TargetMode="External"/><Relationship Id="rId27" Type="http://schemas.openxmlformats.org/officeDocument/2006/relationships/hyperlink" Target="https://www.fastenal.com/product/details/M42540008A20000" TargetMode="External"/><Relationship Id="rId30" Type="http://schemas.openxmlformats.org/officeDocument/2006/relationships/hyperlink" Target="https://www.fastenal.com/product/details/M42540020A20000" TargetMode="External"/><Relationship Id="rId8" Type="http://schemas.openxmlformats.org/officeDocument/2006/relationships/hyperlink" Target="https://www.amazon.com/Hard-Find-Fastener-014973222963-Piece-20/dp/B00L1IV4TQ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stenal.com/product/details/M42510010A20000" TargetMode="External"/><Relationship Id="rId18" Type="http://schemas.openxmlformats.org/officeDocument/2006/relationships/hyperlink" Target="https://www.fastenal.com/product/details/39501" TargetMode="External"/><Relationship Id="rId26" Type="http://schemas.openxmlformats.org/officeDocument/2006/relationships/hyperlink" Target="https://www.fastenal.com/product/details/1139946" TargetMode="External"/><Relationship Id="rId3" Type="http://schemas.openxmlformats.org/officeDocument/2006/relationships/hyperlink" Target="https://www.amazon.com/dp/B0F6K1X38W?psc=1&amp;ref_=cm_sw_r_cp_ud_ct_82119P4MARZ1BE251HFX_2" TargetMode="External"/><Relationship Id="rId21" Type="http://schemas.openxmlformats.org/officeDocument/2006/relationships/hyperlink" Target="https://www.fastenal.com/product/details/M42540008A20000" TargetMode="External"/><Relationship Id="rId34" Type="http://schemas.openxmlformats.org/officeDocument/2006/relationships/hyperlink" Target="https://www.amazon.com/VENTRAL-Lumber-Construction-Premium-Whitewood/dp/B0FBHTPY57/ref=sr_1_36?dib=eyJ2IjoiMSJ9.R8lEA0yGrsuhwyCK2H0sjRn8ukV0EWuuLJ0bhWIE1OdHOPm7UamTXbvoqmeOwMNscmhv9F-qYAYJfqC0e4WMa7_u30C9vgGIyK5U2WGrDlChlacm67LzDcsYTcQt6XwPVi5H6Uid8Am_sRUOhny4-aXPlFqdL3Xm0Y-HBA8tXGMngJaX5g8X9czqEHKHCoJVtPqVwoxo2XHDV9EZxF15fkdUuXKB-m-MD9FhGrsoOHnwTm4cF6yfaJggbcTxMrqj--zsQycqa9xGLSe51ABZw8Y00DVOp8gbNUA-D20OB_c.BMuJlq0At6Mdx4KpSMaBJk7dWaeaFa9debdCrxNzrQI&amp;dib_tag=se&amp;keywords=2x4%2Bwood%2Blumber&amp;qid=1772138413&amp;sr=8-36&amp;th=1" TargetMode="External"/><Relationship Id="rId7" Type="http://schemas.openxmlformats.org/officeDocument/2006/relationships/hyperlink" Target="https://www.amazon.com/Aluminum-Protective-Treatable-Rectangle-Industrial/dp/B0CPXGRB66/ref=sr_1_8?crid=5UB5MQ27R975&amp;dib=eyJ2IjoiMSJ9.BRy4FHC8qlRbumFRZCUiafL2930mHY1mRD-rPYkyT6TN5l909k-0s7ZCX9o84s4F_36bomO7Q2cEb9FrfyMCklnpVXaQeWqZ7hZeLr2eRuqI1MutZ6CL2wjS4QW71tGRmB-JjbD0AmGklmHGogPgJUGRsIaF_kJml9_7Dj1EUKCVUTPRaGbHgKaad_6TMN-rCSoJzke1y_81L9GNrUhRCA1w90On14Ja3NqWRm5hoHQ.6AFHXMOmIyiOslzxAFMiQTRI3eTutlAI1zdWnF3ifvI&amp;dib_tag=se&amp;keywords=aluminum%2Bplate%2B1%2F4%2Binch%2Bthick&amp;qid=1771978303&amp;sprefix=aluminum%2Bplate%2B1%2F4%2Binch%2Bthick%2Caps%2C145&amp;sr=8-8&amp;th=1" TargetMode="External"/><Relationship Id="rId12" Type="http://schemas.openxmlformats.org/officeDocument/2006/relationships/hyperlink" Target="https://www.fastenal.com/product/details/M42510020A20000" TargetMode="External"/><Relationship Id="rId17" Type="http://schemas.openxmlformats.org/officeDocument/2006/relationships/hyperlink" Target="https://www.fastenal.com/product/details/39510" TargetMode="External"/><Relationship Id="rId25" Type="http://schemas.openxmlformats.org/officeDocument/2006/relationships/hyperlink" Target="https://www.fastenal.com/product/details/M42540060A20000" TargetMode="External"/><Relationship Id="rId33" Type="http://schemas.openxmlformats.org/officeDocument/2006/relationships/hyperlink" Target="https://www.mcmaster.com/94180A361/" TargetMode="External"/><Relationship Id="rId2" Type="http://schemas.openxmlformats.org/officeDocument/2006/relationships/hyperlink" Target="https://a.co/d/b46eJOk" TargetMode="External"/><Relationship Id="rId16" Type="http://schemas.openxmlformats.org/officeDocument/2006/relationships/hyperlink" Target="https://www.fastenal.com/product/details/MB2510010A20000" TargetMode="External"/><Relationship Id="rId20" Type="http://schemas.openxmlformats.org/officeDocument/2006/relationships/hyperlink" Target="https://www.fastenal.com/product/details/MW6330000A20000" TargetMode="External"/><Relationship Id="rId29" Type="http://schemas.openxmlformats.org/officeDocument/2006/relationships/hyperlink" Target="https://www.mcmaster.com/94459A771/" TargetMode="External"/><Relationship Id="rId1" Type="http://schemas.openxmlformats.org/officeDocument/2006/relationships/hyperlink" Target="https://www.amazon.com/dp/B01L6EKGGQ?psc=1&amp;ref_=cm_sw_r_cp_ud_ct_82119P4MARZ1BE251HFX" TargetMode="External"/><Relationship Id="rId6" Type="http://schemas.openxmlformats.org/officeDocument/2006/relationships/hyperlink" Target="https://www.amazon.com/Hard-Find-Fastener-014973222963-Piece-20/dp/B00L1IV4TQ" TargetMode="External"/><Relationship Id="rId11" Type="http://schemas.openxmlformats.org/officeDocument/2006/relationships/hyperlink" Target="https://www.fastenal.com/product/details/XM2510016A20000" TargetMode="External"/><Relationship Id="rId24" Type="http://schemas.openxmlformats.org/officeDocument/2006/relationships/hyperlink" Target="https://www.fastenal.com/product/details/M42540020A20000" TargetMode="External"/><Relationship Id="rId32" Type="http://schemas.openxmlformats.org/officeDocument/2006/relationships/hyperlink" Target="https://www.amazon.com/Scotch-Round-2-Inch-Diameter-SP807-NA/dp/B01N8VO304" TargetMode="External"/><Relationship Id="rId5" Type="http://schemas.openxmlformats.org/officeDocument/2006/relationships/hyperlink" Target="https://www.amazon.com/dp/B0BVG1HTM2?ref=cm_sw_r_cp_ud_dp_FSQV046M07J815B53DRW_1&amp;ref_=cm_sw_r_cp_ud_dp_FSQV046M07J815B53DRW_1&amp;social_share=cm_sw_r_cp_ud_dp_FSQV046M07J815B53DRW_1&amp;th=1" TargetMode="External"/><Relationship Id="rId15" Type="http://schemas.openxmlformats.org/officeDocument/2006/relationships/hyperlink" Target="https://www.fastenal.com/product/details/11511644" TargetMode="External"/><Relationship Id="rId23" Type="http://schemas.openxmlformats.org/officeDocument/2006/relationships/hyperlink" Target="https://www.fastenal.com/product/details/M42540016A20000" TargetMode="External"/><Relationship Id="rId28" Type="http://schemas.openxmlformats.org/officeDocument/2006/relationships/hyperlink" Target="https://www.fastenal.com/product/details/0139867" TargetMode="External"/><Relationship Id="rId10" Type="http://schemas.openxmlformats.org/officeDocument/2006/relationships/hyperlink" Target="https://www.amazon.com/dp/B09ZVGD2SL?_encoding=UTF8&amp;ref=cm_sw_r_cp_ud_dp_1JB2RVDGN1S1H2DN2Y72&amp;ref_=cm_sw_r_cp_ud_dp_1JB2RVDGN1S1H2DN2Y72&amp;social_share=cm_sw_r_cp_ud_dp_1JB2RVDGN1S1H2DN2Y72&amp;th=1" TargetMode="External"/><Relationship Id="rId19" Type="http://schemas.openxmlformats.org/officeDocument/2006/relationships/hyperlink" Target="https://www.fastenal.com/product/details/1L2510000A20000" TargetMode="External"/><Relationship Id="rId31" Type="http://schemas.openxmlformats.org/officeDocument/2006/relationships/hyperlink" Target="https://www.mcmaster.com/5905K543/" TargetMode="External"/><Relationship Id="rId4" Type="http://schemas.openxmlformats.org/officeDocument/2006/relationships/hyperlink" Target="https://www.amazon.com/dp/B0BNQ9XXCZ?_encoding=UTF8&amp;ref=cm_sw_r_cp_ud_dp_DJJ3PC1PYW00CPE979WB&amp;ref_=cm_sw_r_cp_ud_dp_DJJ3PC1PYW00CPE979WB&amp;social_share=cm_sw_r_cp_ud_dp_DJJ3PC1PYW00CPE979WB&amp;th=1" TargetMode="External"/><Relationship Id="rId9" Type="http://schemas.openxmlformats.org/officeDocument/2006/relationships/hyperlink" Target="https://www.amazon.com/dp/B0D2W5H32Y?psc=1&amp;ref_=cm_sw_r_cp_ud_ct_V6CXT111PX5BXJXVSE2Y" TargetMode="External"/><Relationship Id="rId14" Type="http://schemas.openxmlformats.org/officeDocument/2006/relationships/hyperlink" Target="https://www.fastenal.com/product/details/M42510008A20000" TargetMode="External"/><Relationship Id="rId22" Type="http://schemas.openxmlformats.org/officeDocument/2006/relationships/hyperlink" Target="https://www.fastenal.com/product/details/M42530012A20000" TargetMode="External"/><Relationship Id="rId27" Type="http://schemas.openxmlformats.org/officeDocument/2006/relationships/hyperlink" Target="https://www.fastenal.com/product/details/39942" TargetMode="External"/><Relationship Id="rId30" Type="http://schemas.openxmlformats.org/officeDocument/2006/relationships/hyperlink" Target="https://www.firgelliauto.com/products/micro-utility-actuator?variant=41131375231047" TargetMode="External"/><Relationship Id="rId8" Type="http://schemas.openxmlformats.org/officeDocument/2006/relationships/hyperlink" Target="https://www.amazon.com/Aluminum-Thickness-Rectangle-Protective-Polished/dp/B08YFJ1JV4/ref=sr_1_4?dib=eyJ2IjoiMSJ9.6zWQeAOxtJkAj6L--drqZL7uXwP3MWX0YUvc_T9eSO-3jwt1E-cChE3F6Xb-dTD7D54xWxxhD4Z4e7yc5vPEXRBjjI-bmfsBPiDz9kj95mAt0Abb4EEijUBhc8enCQqqbOaYVKiED75tbxU7g0wee37gbodiscaRwP9sHCDYLOaQ0fmqUaqKMIMDbzlUgH9FsJACVHuTu_ijyUkDslV1yF7CjjWmAJmW9qn-FYUQ_r4.k9HfSZI4ntQTBrMssPNXjiPLGUw2vjO4AUN_vgu5ezY&amp;dib_tag=se&amp;keywords=3mm%2Baluminum%2Bsheet&amp;qid=1770646532&amp;sr=8-4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2FF8-E4BE-4C40-8ACD-D99B0E4D62F1}">
  <dimension ref="A1:E46"/>
  <sheetViews>
    <sheetView topLeftCell="A25" workbookViewId="0">
      <selection activeCell="G20" sqref="G20"/>
    </sheetView>
  </sheetViews>
  <sheetFormatPr defaultRowHeight="14.4" x14ac:dyDescent="0.3"/>
  <cols>
    <col min="1" max="1" width="36.33203125" bestFit="1" customWidth="1"/>
    <col min="2" max="2" width="21.5546875" style="2" customWidth="1"/>
    <col min="3" max="3" width="21.5546875" style="1" customWidth="1"/>
    <col min="4" max="4" width="13.33203125" customWidth="1"/>
    <col min="5" max="5" width="18.6640625" customWidth="1"/>
  </cols>
  <sheetData>
    <row r="1" spans="1:5" ht="18" thickBot="1" x14ac:dyDescent="0.4">
      <c r="A1" s="6" t="s">
        <v>0</v>
      </c>
      <c r="B1" s="7" t="s">
        <v>1</v>
      </c>
      <c r="C1" s="8" t="s">
        <v>2</v>
      </c>
      <c r="D1" s="6" t="s">
        <v>3</v>
      </c>
      <c r="E1" s="6" t="s">
        <v>4</v>
      </c>
    </row>
    <row r="2" spans="1:5" ht="15.6" thickTop="1" thickBot="1" x14ac:dyDescent="0.35">
      <c r="A2" s="9" t="s">
        <v>5</v>
      </c>
    </row>
    <row r="3" spans="1:5" x14ac:dyDescent="0.3">
      <c r="A3" s="10" t="s">
        <v>6</v>
      </c>
      <c r="B3" s="11">
        <v>16.989999999999998</v>
      </c>
      <c r="C3" s="12">
        <v>1</v>
      </c>
      <c r="D3" s="13">
        <f>B3*C3</f>
        <v>16.989999999999998</v>
      </c>
      <c r="E3" s="18" t="s">
        <v>7</v>
      </c>
    </row>
    <row r="4" spans="1:5" x14ac:dyDescent="0.3">
      <c r="A4" t="s">
        <v>8</v>
      </c>
      <c r="B4" s="2">
        <v>67.989999999999995</v>
      </c>
      <c r="C4" s="1">
        <v>1</v>
      </c>
      <c r="D4" s="5">
        <f t="shared" ref="D4:D10" si="0">B4*C4</f>
        <v>67.989999999999995</v>
      </c>
      <c r="E4" s="4" t="s">
        <v>9</v>
      </c>
    </row>
    <row r="5" spans="1:5" x14ac:dyDescent="0.3">
      <c r="A5" s="10" t="s">
        <v>10</v>
      </c>
      <c r="B5" s="11">
        <v>75</v>
      </c>
      <c r="C5" s="12">
        <v>2</v>
      </c>
      <c r="D5" s="13">
        <f t="shared" si="0"/>
        <v>150</v>
      </c>
      <c r="E5" s="18" t="s">
        <v>11</v>
      </c>
    </row>
    <row r="6" spans="1:5" x14ac:dyDescent="0.3">
      <c r="A6" t="s">
        <v>12</v>
      </c>
      <c r="B6" s="2">
        <v>169.99</v>
      </c>
      <c r="C6" s="1">
        <v>1</v>
      </c>
      <c r="D6" s="5">
        <f t="shared" si="0"/>
        <v>169.99</v>
      </c>
      <c r="E6" s="4" t="s">
        <v>7</v>
      </c>
    </row>
    <row r="7" spans="1:5" x14ac:dyDescent="0.3">
      <c r="A7" s="10" t="s">
        <v>13</v>
      </c>
      <c r="B7" s="11">
        <v>8.77</v>
      </c>
      <c r="C7" s="12">
        <v>1</v>
      </c>
      <c r="D7" s="13">
        <f t="shared" si="0"/>
        <v>8.77</v>
      </c>
      <c r="E7" s="18" t="s">
        <v>7</v>
      </c>
    </row>
    <row r="8" spans="1:5" x14ac:dyDescent="0.3">
      <c r="A8" t="s">
        <v>14</v>
      </c>
      <c r="B8" s="2">
        <v>9.99</v>
      </c>
      <c r="C8" s="1">
        <v>1</v>
      </c>
      <c r="D8" s="5">
        <f t="shared" si="0"/>
        <v>9.99</v>
      </c>
      <c r="E8" s="4" t="s">
        <v>7</v>
      </c>
    </row>
    <row r="9" spans="1:5" x14ac:dyDescent="0.3">
      <c r="A9" s="10" t="s">
        <v>15</v>
      </c>
      <c r="B9" s="11">
        <v>6.5</v>
      </c>
      <c r="C9" s="12">
        <v>4</v>
      </c>
      <c r="D9" s="13">
        <f t="shared" si="0"/>
        <v>26</v>
      </c>
      <c r="E9" s="18" t="s">
        <v>16</v>
      </c>
    </row>
    <row r="10" spans="1:5" x14ac:dyDescent="0.3">
      <c r="A10" t="s">
        <v>17</v>
      </c>
      <c r="B10" s="2">
        <v>8.4600000000000009</v>
      </c>
      <c r="C10" s="1">
        <v>1</v>
      </c>
      <c r="D10" s="5">
        <f t="shared" si="0"/>
        <v>8.4600000000000009</v>
      </c>
      <c r="E10" s="4" t="s">
        <v>18</v>
      </c>
    </row>
    <row r="11" spans="1:5" x14ac:dyDescent="0.3">
      <c r="A11" s="10" t="s">
        <v>19</v>
      </c>
      <c r="B11" s="11">
        <v>18.989999999999998</v>
      </c>
      <c r="C11" s="12">
        <v>1</v>
      </c>
      <c r="D11" s="13">
        <f>B11*C11</f>
        <v>18.989999999999998</v>
      </c>
      <c r="E11" s="18" t="s">
        <v>7</v>
      </c>
    </row>
    <row r="12" spans="1:5" x14ac:dyDescent="0.3">
      <c r="A12" s="14" t="s">
        <v>20</v>
      </c>
      <c r="B12" s="15"/>
      <c r="C12" s="16"/>
      <c r="D12" s="17">
        <f>SUM(D3:D11)</f>
        <v>477.18</v>
      </c>
      <c r="E12" s="14"/>
    </row>
    <row r="14" spans="1:5" ht="15" thickBot="1" x14ac:dyDescent="0.35">
      <c r="A14" s="9" t="s">
        <v>21</v>
      </c>
    </row>
    <row r="15" spans="1:5" x14ac:dyDescent="0.3">
      <c r="A15" s="19" t="s">
        <v>22</v>
      </c>
      <c r="B15" s="19">
        <v>6.59</v>
      </c>
      <c r="C15" s="19">
        <v>1</v>
      </c>
      <c r="D15" s="19">
        <v>6.59</v>
      </c>
      <c r="E15" s="23" t="s">
        <v>18</v>
      </c>
    </row>
    <row r="16" spans="1:5" x14ac:dyDescent="0.3">
      <c r="A16" t="s">
        <v>23</v>
      </c>
      <c r="B16" s="2">
        <v>16.989999999999998</v>
      </c>
      <c r="C16" s="1">
        <v>1</v>
      </c>
      <c r="D16" s="5">
        <f t="shared" ref="D16:D18" si="1">B16*C16</f>
        <v>16.989999999999998</v>
      </c>
      <c r="E16" s="4" t="s">
        <v>7</v>
      </c>
    </row>
    <row r="17" spans="1:5" x14ac:dyDescent="0.3">
      <c r="A17" s="10" t="s">
        <v>24</v>
      </c>
      <c r="B17" s="11">
        <v>11.98</v>
      </c>
      <c r="C17" s="12">
        <v>1</v>
      </c>
      <c r="D17" s="13">
        <f t="shared" si="1"/>
        <v>11.98</v>
      </c>
      <c r="E17" s="18" t="s">
        <v>25</v>
      </c>
    </row>
    <row r="18" spans="1:5" x14ac:dyDescent="0.3">
      <c r="A18" t="s">
        <v>26</v>
      </c>
      <c r="B18" s="2">
        <v>0.1</v>
      </c>
      <c r="C18" s="1">
        <v>4</v>
      </c>
      <c r="D18" s="5">
        <f t="shared" si="1"/>
        <v>0.4</v>
      </c>
      <c r="E18" s="4" t="s">
        <v>27</v>
      </c>
    </row>
    <row r="19" spans="1:5" x14ac:dyDescent="0.3">
      <c r="A19" s="14" t="s">
        <v>28</v>
      </c>
      <c r="B19" s="15"/>
      <c r="C19" s="16"/>
      <c r="D19" s="17">
        <f>SUM(D15:D18)</f>
        <v>35.96</v>
      </c>
      <c r="E19" s="14"/>
    </row>
    <row r="21" spans="1:5" ht="15" thickBot="1" x14ac:dyDescent="0.35">
      <c r="A21" s="9" t="s">
        <v>29</v>
      </c>
    </row>
    <row r="22" spans="1:5" x14ac:dyDescent="0.3">
      <c r="A22" s="10" t="s">
        <v>30</v>
      </c>
      <c r="B22" s="11">
        <v>18.23</v>
      </c>
      <c r="C22" s="12">
        <v>1</v>
      </c>
      <c r="D22" s="10">
        <f>B22*C22</f>
        <v>18.23</v>
      </c>
      <c r="E22" s="18" t="s">
        <v>7</v>
      </c>
    </row>
    <row r="23" spans="1:5" x14ac:dyDescent="0.3">
      <c r="A23" t="s">
        <v>31</v>
      </c>
      <c r="B23" s="2">
        <v>10.99</v>
      </c>
      <c r="C23" s="1">
        <v>2</v>
      </c>
      <c r="D23">
        <f t="shared" ref="D23:D42" si="2">B23*C23</f>
        <v>21.98</v>
      </c>
      <c r="E23" s="4" t="s">
        <v>7</v>
      </c>
    </row>
    <row r="24" spans="1:5" x14ac:dyDescent="0.3">
      <c r="A24" s="10" t="s">
        <v>32</v>
      </c>
      <c r="B24" s="11">
        <v>6.58</v>
      </c>
      <c r="C24" s="12">
        <v>1</v>
      </c>
      <c r="D24" s="10">
        <f t="shared" si="2"/>
        <v>6.58</v>
      </c>
      <c r="E24" s="18" t="s">
        <v>33</v>
      </c>
    </row>
    <row r="25" spans="1:5" x14ac:dyDescent="0.3">
      <c r="A25" t="s">
        <v>34</v>
      </c>
      <c r="B25" s="2">
        <v>11.99</v>
      </c>
      <c r="C25" s="1">
        <v>1</v>
      </c>
      <c r="D25">
        <f t="shared" si="2"/>
        <v>11.99</v>
      </c>
      <c r="E25" s="4" t="s">
        <v>35</v>
      </c>
    </row>
    <row r="26" spans="1:5" x14ac:dyDescent="0.3">
      <c r="A26" s="10" t="s">
        <v>36</v>
      </c>
      <c r="B26" s="11">
        <v>0.11</v>
      </c>
      <c r="C26" s="12">
        <v>8</v>
      </c>
      <c r="D26" s="10">
        <f>B26*C26</f>
        <v>0.88</v>
      </c>
      <c r="E26" s="18" t="s">
        <v>27</v>
      </c>
    </row>
    <row r="27" spans="1:5" x14ac:dyDescent="0.3">
      <c r="A27" t="s">
        <v>37</v>
      </c>
      <c r="B27" s="2">
        <v>0.16</v>
      </c>
      <c r="C27" s="1">
        <v>4</v>
      </c>
      <c r="D27">
        <f t="shared" si="2"/>
        <v>0.64</v>
      </c>
      <c r="E27" s="4" t="s">
        <v>27</v>
      </c>
    </row>
    <row r="28" spans="1:5" x14ac:dyDescent="0.3">
      <c r="A28" s="10" t="s">
        <v>38</v>
      </c>
      <c r="B28" s="11">
        <v>0.1</v>
      </c>
      <c r="C28" s="12">
        <v>4</v>
      </c>
      <c r="D28" s="10">
        <f t="shared" si="2"/>
        <v>0.4</v>
      </c>
      <c r="E28" s="18" t="s">
        <v>27</v>
      </c>
    </row>
    <row r="29" spans="1:5" x14ac:dyDescent="0.3">
      <c r="A29" t="s">
        <v>39</v>
      </c>
      <c r="B29" s="2">
        <v>0.1</v>
      </c>
      <c r="C29" s="1">
        <v>4</v>
      </c>
      <c r="D29">
        <f t="shared" si="2"/>
        <v>0.4</v>
      </c>
      <c r="E29" s="4" t="s">
        <v>27</v>
      </c>
    </row>
    <row r="30" spans="1:5" x14ac:dyDescent="0.3">
      <c r="A30" s="10" t="s">
        <v>40</v>
      </c>
      <c r="B30" s="11">
        <v>7.0000000000000007E-2</v>
      </c>
      <c r="C30" s="12">
        <v>1</v>
      </c>
      <c r="D30" s="10">
        <f t="shared" si="2"/>
        <v>7.0000000000000007E-2</v>
      </c>
      <c r="E30" s="18" t="s">
        <v>27</v>
      </c>
    </row>
    <row r="31" spans="1:5" x14ac:dyDescent="0.3">
      <c r="A31" t="s">
        <v>41</v>
      </c>
      <c r="B31" s="2">
        <v>0.08</v>
      </c>
      <c r="C31" s="1">
        <v>4</v>
      </c>
      <c r="D31">
        <f t="shared" si="2"/>
        <v>0.32</v>
      </c>
      <c r="E31" s="4" t="s">
        <v>27</v>
      </c>
    </row>
    <row r="32" spans="1:5" x14ac:dyDescent="0.3">
      <c r="A32" s="10" t="s">
        <v>42</v>
      </c>
      <c r="B32" s="11">
        <v>0.22</v>
      </c>
      <c r="C32" s="12">
        <v>2</v>
      </c>
      <c r="D32" s="10">
        <f t="shared" si="2"/>
        <v>0.44</v>
      </c>
      <c r="E32" s="18" t="s">
        <v>27</v>
      </c>
    </row>
    <row r="33" spans="1:5" x14ac:dyDescent="0.3">
      <c r="A33" t="s">
        <v>43</v>
      </c>
      <c r="B33" s="2">
        <v>0.12</v>
      </c>
      <c r="C33" s="1">
        <v>1</v>
      </c>
      <c r="D33">
        <f t="shared" si="2"/>
        <v>0.12</v>
      </c>
      <c r="E33" s="4" t="s">
        <v>27</v>
      </c>
    </row>
    <row r="34" spans="1:5" x14ac:dyDescent="0.3">
      <c r="A34" s="10" t="s">
        <v>44</v>
      </c>
      <c r="B34" s="11">
        <v>0.11</v>
      </c>
      <c r="C34" s="12">
        <v>4</v>
      </c>
      <c r="D34" s="10">
        <f t="shared" si="2"/>
        <v>0.44</v>
      </c>
      <c r="E34" s="18" t="s">
        <v>27</v>
      </c>
    </row>
    <row r="35" spans="1:5" x14ac:dyDescent="0.3">
      <c r="A35" t="s">
        <v>45</v>
      </c>
      <c r="B35" s="2">
        <v>0.04</v>
      </c>
      <c r="C35" s="1">
        <v>10</v>
      </c>
      <c r="D35">
        <f t="shared" si="2"/>
        <v>0.4</v>
      </c>
      <c r="E35" s="4" t="s">
        <v>27</v>
      </c>
    </row>
    <row r="36" spans="1:5" x14ac:dyDescent="0.3">
      <c r="A36" s="10" t="s">
        <v>46</v>
      </c>
      <c r="B36" s="11">
        <v>0.15</v>
      </c>
      <c r="C36" s="12">
        <v>2</v>
      </c>
      <c r="D36" s="10">
        <f t="shared" si="2"/>
        <v>0.3</v>
      </c>
      <c r="E36" s="18" t="s">
        <v>27</v>
      </c>
    </row>
    <row r="37" spans="1:5" x14ac:dyDescent="0.3">
      <c r="A37" t="s">
        <v>47</v>
      </c>
      <c r="B37" s="2">
        <v>0.12</v>
      </c>
      <c r="C37" s="1">
        <v>2</v>
      </c>
      <c r="D37">
        <f t="shared" si="2"/>
        <v>0.24</v>
      </c>
      <c r="E37" s="4" t="s">
        <v>27</v>
      </c>
    </row>
    <row r="38" spans="1:5" x14ac:dyDescent="0.3">
      <c r="A38" s="10" t="s">
        <v>48</v>
      </c>
      <c r="B38" s="11">
        <v>0.25</v>
      </c>
      <c r="C38" s="12">
        <v>1</v>
      </c>
      <c r="D38" s="10">
        <f t="shared" si="2"/>
        <v>0.25</v>
      </c>
      <c r="E38" s="18" t="s">
        <v>27</v>
      </c>
    </row>
    <row r="39" spans="1:5" x14ac:dyDescent="0.3">
      <c r="A39" t="s">
        <v>49</v>
      </c>
      <c r="B39" s="2">
        <v>0.28000000000000003</v>
      </c>
      <c r="C39" s="1">
        <v>3</v>
      </c>
      <c r="D39">
        <f t="shared" si="2"/>
        <v>0.84000000000000008</v>
      </c>
      <c r="E39" s="4" t="s">
        <v>27</v>
      </c>
    </row>
    <row r="40" spans="1:5" x14ac:dyDescent="0.3">
      <c r="A40" s="10" t="s">
        <v>50</v>
      </c>
      <c r="B40" s="11">
        <v>0.98</v>
      </c>
      <c r="C40" s="12">
        <v>3</v>
      </c>
      <c r="D40" s="10">
        <f t="shared" si="2"/>
        <v>2.94</v>
      </c>
      <c r="E40" s="18" t="s">
        <v>27</v>
      </c>
    </row>
    <row r="41" spans="1:5" x14ac:dyDescent="0.3">
      <c r="A41" t="s">
        <v>51</v>
      </c>
      <c r="B41" s="2">
        <v>0.16</v>
      </c>
      <c r="C41" s="1">
        <v>6</v>
      </c>
      <c r="D41">
        <f t="shared" si="2"/>
        <v>0.96</v>
      </c>
      <c r="E41" s="4" t="s">
        <v>27</v>
      </c>
    </row>
    <row r="42" spans="1:5" x14ac:dyDescent="0.3">
      <c r="A42" s="10" t="s">
        <v>52</v>
      </c>
      <c r="B42" s="11">
        <v>0.18</v>
      </c>
      <c r="C42" s="12">
        <v>2</v>
      </c>
      <c r="D42" s="10">
        <f t="shared" si="2"/>
        <v>0.36</v>
      </c>
      <c r="E42" s="18" t="s">
        <v>27</v>
      </c>
    </row>
    <row r="43" spans="1:5" x14ac:dyDescent="0.3">
      <c r="A43" s="14" t="s">
        <v>28</v>
      </c>
      <c r="B43" s="15"/>
      <c r="C43" s="16"/>
      <c r="D43" s="17">
        <f>SUM(D22:D42)</f>
        <v>68.779999999999987</v>
      </c>
      <c r="E43" s="14"/>
    </row>
    <row r="45" spans="1:5" ht="18" thickBot="1" x14ac:dyDescent="0.4">
      <c r="A45" s="6" t="s">
        <v>53</v>
      </c>
      <c r="B45" s="7">
        <f>D43+D19+D12</f>
        <v>581.91999999999996</v>
      </c>
    </row>
    <row r="46" spans="1:5" ht="15" thickTop="1" x14ac:dyDescent="0.3">
      <c r="B46" s="3"/>
    </row>
  </sheetData>
  <hyperlinks>
    <hyperlink ref="E3" r:id="rId1" xr:uid="{B80F33BD-E7C3-49AD-BE18-BF158FCDFE8B}"/>
    <hyperlink ref="E4" r:id="rId2" xr:uid="{8AA3C9CA-613E-4780-8B84-E101AB5F11B0}"/>
    <hyperlink ref="E5" r:id="rId3" xr:uid="{6C4FD8B3-AAE1-4E62-99E8-ACF184B94A8C}"/>
    <hyperlink ref="E6" r:id="rId4" xr:uid="{D84E193A-AAC7-4692-B778-90AE9592FD95}"/>
    <hyperlink ref="E7" r:id="rId5" xr:uid="{CAD38C9E-2BA6-4D15-831E-2A8AAFA84971}"/>
    <hyperlink ref="E8" r:id="rId6" xr:uid="{696DF035-FB81-47B3-9DBB-FDA9842C1A5F}"/>
    <hyperlink ref="E9" r:id="rId7" xr:uid="{2BD73102-4E73-4AE9-90D8-A65739F339C5}"/>
    <hyperlink ref="E10" r:id="rId8" xr:uid="{17AEB6D5-D023-49B3-902D-78E71AC6F3A7}"/>
    <hyperlink ref="E11" r:id="rId9" xr:uid="{58E5DCFF-33AE-4E59-A642-DB0CEED9B553}"/>
    <hyperlink ref="E16" r:id="rId10" xr:uid="{41CE38EE-EF6F-40D8-99AA-CDE7122C763A}"/>
    <hyperlink ref="E17" r:id="rId11" xr:uid="{975E363D-7D49-48CC-9188-0F6D56ADD0AA}"/>
    <hyperlink ref="E18" r:id="rId12" xr:uid="{593E2E7E-EBDA-456B-BB05-0C2B94740D77}"/>
    <hyperlink ref="E22" r:id="rId13" xr:uid="{6CE49E69-97B8-42C7-B293-34FA687376B1}"/>
    <hyperlink ref="E23" r:id="rId14" xr:uid="{E8B43D2E-1D44-4636-8B31-3CED21CE5BD3}"/>
    <hyperlink ref="E24" r:id="rId15" xr:uid="{4A3C68B4-C9D6-40A9-A728-9E801C8B499E}"/>
    <hyperlink ref="E25" r:id="rId16" xr:uid="{E390921D-895E-469B-8402-93B45C508CA1}"/>
    <hyperlink ref="E26" r:id="rId17" xr:uid="{914F21F6-8C4D-442C-B530-566112AECB68}"/>
    <hyperlink ref="E27" r:id="rId18" xr:uid="{4C5FDC3F-01FA-4786-9A46-0B2D601C7A1A}"/>
    <hyperlink ref="E28" r:id="rId19" xr:uid="{4A800F06-C071-4538-8879-A1316796402A}"/>
    <hyperlink ref="E29" r:id="rId20" xr:uid="{BE251908-27F8-475B-8E3A-DE1356FDCE24}"/>
    <hyperlink ref="E30" r:id="rId21" xr:uid="{2FA02AD6-0247-4B43-85A2-053347207C58}"/>
    <hyperlink ref="E31" r:id="rId22" xr:uid="{4257918A-723F-4E9D-AA89-747107ACE151}"/>
    <hyperlink ref="E32" r:id="rId23" xr:uid="{FA4DDA83-A0DD-4983-B141-F098BEA78ECD}"/>
    <hyperlink ref="E33" r:id="rId24" xr:uid="{08624593-892F-45DC-A3F1-5CB38716B3C9}"/>
    <hyperlink ref="E34" r:id="rId25" xr:uid="{CE400AFA-9392-4DAB-9E32-1E7671000107}"/>
    <hyperlink ref="E35" r:id="rId26" xr:uid="{7AE9A6D5-BF78-4CD5-80F5-D6450137A5E2}"/>
    <hyperlink ref="E36" r:id="rId27" xr:uid="{6577E783-EA6D-4BD6-9C21-FF8141A18E8C}"/>
    <hyperlink ref="E37" r:id="rId28" xr:uid="{4C5F660F-8755-4E62-A1CB-8A55FD058119}"/>
    <hyperlink ref="E38" r:id="rId29" xr:uid="{AD1A3F5A-8C66-426C-9CD7-CD1865F0A351}"/>
    <hyperlink ref="E39" r:id="rId30" xr:uid="{5A80D834-B9D4-458F-87DA-EDA05158944D}"/>
    <hyperlink ref="E40" r:id="rId31" xr:uid="{324ECD1E-B2F6-4304-9C7D-9DFCA56906A1}"/>
    <hyperlink ref="E41" r:id="rId32" xr:uid="{388D455E-9E8B-4004-8968-60175C1D0009}"/>
    <hyperlink ref="E42" r:id="rId33" xr:uid="{080CA28E-0422-4BA1-9425-9F28A5A801EC}"/>
    <hyperlink ref="E15" r:id="rId34" xr:uid="{600A772F-7980-4F2C-AFAD-306F8E73C7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C4B7-9A5E-45D6-BD7E-D2136C82B4EF}">
  <dimension ref="A1:J54"/>
  <sheetViews>
    <sheetView tabSelected="1" workbookViewId="0">
      <selection activeCell="L9" sqref="L9"/>
    </sheetView>
  </sheetViews>
  <sheetFormatPr defaultRowHeight="14.4" x14ac:dyDescent="0.3"/>
  <cols>
    <col min="1" max="1" width="38.109375" customWidth="1"/>
    <col min="2" max="2" width="17.5546875" customWidth="1"/>
    <col min="3" max="3" width="12.6640625" customWidth="1"/>
    <col min="4" max="4" width="16.5546875" customWidth="1"/>
    <col min="5" max="5" width="18.6640625" customWidth="1"/>
    <col min="6" max="6" width="12.44140625" customWidth="1"/>
    <col min="9" max="9" width="10.77734375" customWidth="1"/>
  </cols>
  <sheetData>
    <row r="1" spans="1:10" ht="17.399999999999999" x14ac:dyDescent="0.35">
      <c r="A1" s="6" t="s">
        <v>0</v>
      </c>
      <c r="B1" s="7" t="s">
        <v>1</v>
      </c>
      <c r="C1" s="8" t="s">
        <v>2</v>
      </c>
      <c r="D1" s="6" t="s">
        <v>3</v>
      </c>
      <c r="E1" s="6" t="s">
        <v>4</v>
      </c>
    </row>
    <row r="2" spans="1:10" x14ac:dyDescent="0.3">
      <c r="A2" s="9" t="s">
        <v>54</v>
      </c>
      <c r="B2" s="2"/>
      <c r="C2" s="1"/>
    </row>
    <row r="3" spans="1:10" x14ac:dyDescent="0.3">
      <c r="A3" s="10" t="s">
        <v>6</v>
      </c>
      <c r="B3" s="11">
        <v>16.989999999999998</v>
      </c>
      <c r="C3" s="12">
        <v>1</v>
      </c>
      <c r="D3" s="13">
        <f>B3*C3</f>
        <v>16.989999999999998</v>
      </c>
      <c r="E3" s="18" t="s">
        <v>7</v>
      </c>
      <c r="F3" t="s">
        <v>55</v>
      </c>
      <c r="G3" t="s">
        <v>56</v>
      </c>
      <c r="H3" t="s">
        <v>65</v>
      </c>
      <c r="I3" t="s">
        <v>68</v>
      </c>
      <c r="J3" t="s">
        <v>66</v>
      </c>
    </row>
    <row r="4" spans="1:10" x14ac:dyDescent="0.3">
      <c r="A4" t="s">
        <v>8</v>
      </c>
      <c r="B4" s="2">
        <v>67.989999999999995</v>
      </c>
      <c r="C4" s="1">
        <v>1</v>
      </c>
      <c r="D4" s="5">
        <f t="shared" ref="D4:D7" si="0">B4*C4</f>
        <v>67.989999999999995</v>
      </c>
      <c r="E4" s="4" t="s">
        <v>9</v>
      </c>
      <c r="F4" t="s">
        <v>55</v>
      </c>
      <c r="G4" t="s">
        <v>56</v>
      </c>
      <c r="H4" t="s">
        <v>65</v>
      </c>
      <c r="I4" t="s">
        <v>68</v>
      </c>
      <c r="J4" t="s">
        <v>66</v>
      </c>
    </row>
    <row r="5" spans="1:10" x14ac:dyDescent="0.3">
      <c r="A5" s="19" t="s">
        <v>12</v>
      </c>
      <c r="B5" s="20">
        <v>244.99</v>
      </c>
      <c r="C5" s="21">
        <v>1</v>
      </c>
      <c r="D5" s="22">
        <f>B5*C5</f>
        <v>244.99</v>
      </c>
      <c r="E5" s="23" t="s">
        <v>7</v>
      </c>
      <c r="F5" t="s">
        <v>55</v>
      </c>
      <c r="G5" t="s">
        <v>56</v>
      </c>
      <c r="H5" t="s">
        <v>65</v>
      </c>
      <c r="I5" t="s">
        <v>68</v>
      </c>
      <c r="J5" t="s">
        <v>66</v>
      </c>
    </row>
    <row r="6" spans="1:10" x14ac:dyDescent="0.3">
      <c r="A6" s="25" t="s">
        <v>13</v>
      </c>
      <c r="B6" s="26">
        <v>8.99</v>
      </c>
      <c r="C6" s="27">
        <v>1</v>
      </c>
      <c r="D6" s="28">
        <v>8.99</v>
      </c>
      <c r="E6" s="24" t="s">
        <v>7</v>
      </c>
      <c r="F6" t="s">
        <v>55</v>
      </c>
      <c r="G6" t="s">
        <v>56</v>
      </c>
      <c r="H6" t="s">
        <v>65</v>
      </c>
      <c r="I6" t="s">
        <v>68</v>
      </c>
      <c r="J6" t="s">
        <v>66</v>
      </c>
    </row>
    <row r="7" spans="1:10" x14ac:dyDescent="0.3">
      <c r="A7" s="19" t="s">
        <v>14</v>
      </c>
      <c r="B7" s="20">
        <v>9.99</v>
      </c>
      <c r="C7" s="21">
        <v>1</v>
      </c>
      <c r="D7" s="22">
        <f t="shared" si="0"/>
        <v>9.99</v>
      </c>
      <c r="E7" s="23" t="s">
        <v>7</v>
      </c>
      <c r="F7" t="s">
        <v>55</v>
      </c>
      <c r="G7" t="s">
        <v>56</v>
      </c>
      <c r="H7" t="s">
        <v>65</v>
      </c>
      <c r="I7" t="s">
        <v>68</v>
      </c>
      <c r="J7" t="s">
        <v>66</v>
      </c>
    </row>
    <row r="8" spans="1:10" x14ac:dyDescent="0.3">
      <c r="A8" t="s">
        <v>17</v>
      </c>
      <c r="B8" s="2">
        <v>8.36</v>
      </c>
      <c r="C8" s="1">
        <v>1</v>
      </c>
      <c r="D8" s="5">
        <f>B8*C8</f>
        <v>8.36</v>
      </c>
      <c r="E8" s="4" t="s">
        <v>18</v>
      </c>
      <c r="F8" t="s">
        <v>55</v>
      </c>
      <c r="G8" t="s">
        <v>56</v>
      </c>
      <c r="H8" t="s">
        <v>65</v>
      </c>
      <c r="I8" t="s">
        <v>68</v>
      </c>
      <c r="J8" t="s">
        <v>66</v>
      </c>
    </row>
    <row r="9" spans="1:10" x14ac:dyDescent="0.3">
      <c r="A9" s="10" t="s">
        <v>19</v>
      </c>
      <c r="B9" s="11">
        <v>18.989999999999998</v>
      </c>
      <c r="C9" s="12">
        <v>1</v>
      </c>
      <c r="D9" s="13">
        <f>B9*C9</f>
        <v>18.989999999999998</v>
      </c>
      <c r="E9" s="18" t="s">
        <v>7</v>
      </c>
      <c r="F9" t="s">
        <v>55</v>
      </c>
      <c r="G9" t="s">
        <v>56</v>
      </c>
      <c r="H9" t="s">
        <v>65</v>
      </c>
      <c r="I9" t="s">
        <v>68</v>
      </c>
      <c r="J9" t="s">
        <v>66</v>
      </c>
    </row>
    <row r="10" spans="1:10" x14ac:dyDescent="0.3">
      <c r="A10" t="s">
        <v>23</v>
      </c>
      <c r="B10" s="2">
        <v>16.989999999999998</v>
      </c>
      <c r="C10" s="1">
        <v>1</v>
      </c>
      <c r="D10" s="5">
        <f t="shared" ref="D10" si="1">B10*C10</f>
        <v>16.989999999999998</v>
      </c>
      <c r="E10" s="4" t="s">
        <v>7</v>
      </c>
      <c r="F10" t="s">
        <v>55</v>
      </c>
      <c r="G10" t="s">
        <v>56</v>
      </c>
      <c r="H10" t="s">
        <v>65</v>
      </c>
      <c r="I10" t="s">
        <v>68</v>
      </c>
      <c r="J10" t="s">
        <v>66</v>
      </c>
    </row>
    <row r="11" spans="1:10" x14ac:dyDescent="0.3">
      <c r="A11" s="10" t="s">
        <v>30</v>
      </c>
      <c r="B11" s="11">
        <v>18.23</v>
      </c>
      <c r="C11" s="12">
        <v>1</v>
      </c>
      <c r="D11" s="10">
        <f>B11*C11</f>
        <v>18.23</v>
      </c>
      <c r="E11" s="18" t="s">
        <v>7</v>
      </c>
      <c r="F11" t="s">
        <v>55</v>
      </c>
      <c r="G11" t="s">
        <v>56</v>
      </c>
      <c r="H11" t="s">
        <v>65</v>
      </c>
      <c r="I11" t="s">
        <v>68</v>
      </c>
    </row>
    <row r="12" spans="1:10" x14ac:dyDescent="0.3">
      <c r="A12" t="s">
        <v>31</v>
      </c>
      <c r="B12" s="2">
        <v>10.99</v>
      </c>
      <c r="C12" s="1">
        <v>2</v>
      </c>
      <c r="D12">
        <f t="shared" ref="D12" si="2">B12*C12</f>
        <v>21.98</v>
      </c>
      <c r="E12" s="4" t="s">
        <v>7</v>
      </c>
      <c r="F12" t="s">
        <v>55</v>
      </c>
    </row>
    <row r="13" spans="1:10" x14ac:dyDescent="0.3">
      <c r="A13" s="19" t="s">
        <v>22</v>
      </c>
      <c r="B13" s="19">
        <v>6.59</v>
      </c>
      <c r="C13" s="19">
        <v>1</v>
      </c>
      <c r="D13" s="19">
        <f>B13*C13</f>
        <v>6.59</v>
      </c>
      <c r="E13" s="23" t="s">
        <v>18</v>
      </c>
      <c r="F13" t="s">
        <v>55</v>
      </c>
    </row>
    <row r="14" spans="1:10" x14ac:dyDescent="0.3">
      <c r="A14" t="s">
        <v>57</v>
      </c>
      <c r="B14">
        <v>27.15</v>
      </c>
      <c r="C14">
        <v>1</v>
      </c>
      <c r="D14">
        <f>B14*C14</f>
        <v>27.15</v>
      </c>
      <c r="E14" s="24" t="s">
        <v>18</v>
      </c>
      <c r="F14" t="s">
        <v>58</v>
      </c>
    </row>
    <row r="15" spans="1:10" x14ac:dyDescent="0.3">
      <c r="A15" s="14" t="s">
        <v>20</v>
      </c>
      <c r="B15" s="15"/>
      <c r="C15" s="16"/>
      <c r="D15" s="17">
        <f>SUM(D3:D14)</f>
        <v>467.24000000000007</v>
      </c>
      <c r="E15" s="14"/>
    </row>
    <row r="16" spans="1:10" x14ac:dyDescent="0.3">
      <c r="B16" s="2"/>
      <c r="C16" s="1"/>
    </row>
    <row r="17" spans="1:5" x14ac:dyDescent="0.3">
      <c r="A17" s="9" t="s">
        <v>59</v>
      </c>
      <c r="B17" s="2"/>
      <c r="C17" s="1"/>
    </row>
    <row r="18" spans="1:5" x14ac:dyDescent="0.3">
      <c r="A18" s="10" t="s">
        <v>36</v>
      </c>
      <c r="B18" s="11">
        <v>0.11</v>
      </c>
      <c r="C18" s="12">
        <v>8</v>
      </c>
      <c r="D18" s="10">
        <f>B18*C18</f>
        <v>0.88</v>
      </c>
      <c r="E18" s="18" t="s">
        <v>27</v>
      </c>
    </row>
    <row r="19" spans="1:5" x14ac:dyDescent="0.3">
      <c r="A19" t="s">
        <v>37</v>
      </c>
      <c r="B19" s="2">
        <v>0.16</v>
      </c>
      <c r="C19" s="1">
        <v>4</v>
      </c>
      <c r="D19">
        <f t="shared" ref="D19:D35" si="3">B19*C19</f>
        <v>0.64</v>
      </c>
      <c r="E19" s="4" t="s">
        <v>27</v>
      </c>
    </row>
    <row r="20" spans="1:5" x14ac:dyDescent="0.3">
      <c r="A20" s="10" t="s">
        <v>38</v>
      </c>
      <c r="B20" s="11">
        <v>0.1</v>
      </c>
      <c r="C20" s="12">
        <v>4</v>
      </c>
      <c r="D20" s="10">
        <f t="shared" si="3"/>
        <v>0.4</v>
      </c>
      <c r="E20" s="18" t="s">
        <v>27</v>
      </c>
    </row>
    <row r="21" spans="1:5" x14ac:dyDescent="0.3">
      <c r="A21" t="s">
        <v>39</v>
      </c>
      <c r="B21" s="2">
        <v>0.1</v>
      </c>
      <c r="C21" s="1">
        <v>4</v>
      </c>
      <c r="D21">
        <f t="shared" si="3"/>
        <v>0.4</v>
      </c>
      <c r="E21" s="4" t="s">
        <v>27</v>
      </c>
    </row>
    <row r="22" spans="1:5" x14ac:dyDescent="0.3">
      <c r="A22" s="10" t="s">
        <v>40</v>
      </c>
      <c r="B22" s="11">
        <v>7.0000000000000007E-2</v>
      </c>
      <c r="C22" s="12">
        <v>1</v>
      </c>
      <c r="D22" s="10">
        <f t="shared" si="3"/>
        <v>7.0000000000000007E-2</v>
      </c>
      <c r="E22" s="18" t="s">
        <v>27</v>
      </c>
    </row>
    <row r="23" spans="1:5" x14ac:dyDescent="0.3">
      <c r="A23" t="s">
        <v>41</v>
      </c>
      <c r="B23" s="2">
        <v>0.08</v>
      </c>
      <c r="C23" s="1">
        <v>4</v>
      </c>
      <c r="D23">
        <f t="shared" si="3"/>
        <v>0.32</v>
      </c>
      <c r="E23" s="4" t="s">
        <v>27</v>
      </c>
    </row>
    <row r="24" spans="1:5" x14ac:dyDescent="0.3">
      <c r="A24" s="10" t="s">
        <v>42</v>
      </c>
      <c r="B24" s="11">
        <v>0.22</v>
      </c>
      <c r="C24" s="12">
        <v>2</v>
      </c>
      <c r="D24" s="10">
        <f t="shared" si="3"/>
        <v>0.44</v>
      </c>
      <c r="E24" s="18" t="s">
        <v>27</v>
      </c>
    </row>
    <row r="25" spans="1:5" x14ac:dyDescent="0.3">
      <c r="A25" t="s">
        <v>43</v>
      </c>
      <c r="B25" s="2">
        <v>0.12</v>
      </c>
      <c r="C25" s="1">
        <v>1</v>
      </c>
      <c r="D25">
        <f t="shared" si="3"/>
        <v>0.12</v>
      </c>
      <c r="E25" s="4" t="s">
        <v>27</v>
      </c>
    </row>
    <row r="26" spans="1:5" x14ac:dyDescent="0.3">
      <c r="A26" s="10" t="s">
        <v>44</v>
      </c>
      <c r="B26" s="11">
        <v>0.11</v>
      </c>
      <c r="C26" s="12">
        <v>4</v>
      </c>
      <c r="D26" s="10">
        <f t="shared" si="3"/>
        <v>0.44</v>
      </c>
      <c r="E26" s="18" t="s">
        <v>27</v>
      </c>
    </row>
    <row r="27" spans="1:5" x14ac:dyDescent="0.3">
      <c r="A27" t="s">
        <v>45</v>
      </c>
      <c r="B27" s="2">
        <v>0.04</v>
      </c>
      <c r="C27" s="1">
        <v>10</v>
      </c>
      <c r="D27">
        <f t="shared" si="3"/>
        <v>0.4</v>
      </c>
      <c r="E27" s="4" t="s">
        <v>27</v>
      </c>
    </row>
    <row r="28" spans="1:5" x14ac:dyDescent="0.3">
      <c r="A28" s="10" t="s">
        <v>46</v>
      </c>
      <c r="B28" s="11">
        <v>0.15</v>
      </c>
      <c r="C28" s="12">
        <v>2</v>
      </c>
      <c r="D28" s="10">
        <f t="shared" si="3"/>
        <v>0.3</v>
      </c>
      <c r="E28" s="18" t="s">
        <v>27</v>
      </c>
    </row>
    <row r="29" spans="1:5" x14ac:dyDescent="0.3">
      <c r="A29" t="s">
        <v>47</v>
      </c>
      <c r="B29" s="2">
        <v>0.12</v>
      </c>
      <c r="C29" s="1">
        <v>2</v>
      </c>
      <c r="D29">
        <f t="shared" si="3"/>
        <v>0.24</v>
      </c>
      <c r="E29" s="4" t="s">
        <v>27</v>
      </c>
    </row>
    <row r="30" spans="1:5" x14ac:dyDescent="0.3">
      <c r="A30" s="10" t="s">
        <v>48</v>
      </c>
      <c r="B30" s="11">
        <v>0.25</v>
      </c>
      <c r="C30" s="12">
        <v>1</v>
      </c>
      <c r="D30" s="10">
        <f t="shared" si="3"/>
        <v>0.25</v>
      </c>
      <c r="E30" s="18" t="s">
        <v>27</v>
      </c>
    </row>
    <row r="31" spans="1:5" x14ac:dyDescent="0.3">
      <c r="A31" t="s">
        <v>49</v>
      </c>
      <c r="B31" s="2">
        <v>0.28000000000000003</v>
      </c>
      <c r="C31" s="1">
        <v>3</v>
      </c>
      <c r="D31">
        <f t="shared" si="3"/>
        <v>0.84000000000000008</v>
      </c>
      <c r="E31" s="4" t="s">
        <v>27</v>
      </c>
    </row>
    <row r="32" spans="1:5" x14ac:dyDescent="0.3">
      <c r="A32" s="10" t="s">
        <v>50</v>
      </c>
      <c r="B32" s="11">
        <v>0.98</v>
      </c>
      <c r="C32" s="12">
        <v>3</v>
      </c>
      <c r="D32" s="10">
        <f t="shared" si="3"/>
        <v>2.94</v>
      </c>
      <c r="E32" s="18" t="s">
        <v>27</v>
      </c>
    </row>
    <row r="33" spans="1:9" x14ac:dyDescent="0.3">
      <c r="A33" t="s">
        <v>51</v>
      </c>
      <c r="B33" s="2">
        <v>0.16</v>
      </c>
      <c r="C33" s="1">
        <v>6</v>
      </c>
      <c r="D33">
        <f t="shared" si="3"/>
        <v>0.96</v>
      </c>
      <c r="E33" s="4" t="s">
        <v>27</v>
      </c>
    </row>
    <row r="34" spans="1:9" x14ac:dyDescent="0.3">
      <c r="A34" s="10" t="s">
        <v>52</v>
      </c>
      <c r="B34" s="11">
        <v>0.18</v>
      </c>
      <c r="C34" s="12">
        <v>2</v>
      </c>
      <c r="D34" s="10">
        <f t="shared" si="3"/>
        <v>0.36</v>
      </c>
      <c r="E34" s="18" t="s">
        <v>27</v>
      </c>
    </row>
    <row r="35" spans="1:9" x14ac:dyDescent="0.3">
      <c r="A35" t="s">
        <v>26</v>
      </c>
      <c r="B35" s="2">
        <v>0.1</v>
      </c>
      <c r="C35" s="1">
        <v>4</v>
      </c>
      <c r="D35" s="5">
        <f t="shared" si="3"/>
        <v>0.4</v>
      </c>
      <c r="E35" s="4" t="s">
        <v>27</v>
      </c>
    </row>
    <row r="36" spans="1:9" x14ac:dyDescent="0.3">
      <c r="A36" s="14" t="s">
        <v>28</v>
      </c>
      <c r="B36" s="15"/>
      <c r="C36" s="16"/>
      <c r="D36" s="17">
        <f>SUM(D18:D35)</f>
        <v>10.4</v>
      </c>
      <c r="E36" s="14"/>
    </row>
    <row r="37" spans="1:9" x14ac:dyDescent="0.3">
      <c r="B37" s="2"/>
      <c r="C37" s="1"/>
    </row>
    <row r="38" spans="1:9" x14ac:dyDescent="0.3">
      <c r="A38" s="9" t="s">
        <v>60</v>
      </c>
      <c r="B38" s="2"/>
      <c r="C38" s="1"/>
      <c r="F38" t="s">
        <v>55</v>
      </c>
      <c r="G38" t="s">
        <v>56</v>
      </c>
      <c r="H38" t="s">
        <v>65</v>
      </c>
      <c r="I38" t="s">
        <v>67</v>
      </c>
    </row>
    <row r="39" spans="1:9" x14ac:dyDescent="0.3">
      <c r="A39" s="10" t="s">
        <v>10</v>
      </c>
      <c r="B39" s="11">
        <v>75</v>
      </c>
      <c r="C39" s="12">
        <v>2</v>
      </c>
      <c r="D39" s="13">
        <f t="shared" ref="D39" si="4">B39*C39</f>
        <v>150</v>
      </c>
      <c r="E39" s="18" t="s">
        <v>11</v>
      </c>
    </row>
    <row r="40" spans="1:9" x14ac:dyDescent="0.3">
      <c r="A40" s="14" t="s">
        <v>28</v>
      </c>
      <c r="B40" s="15"/>
      <c r="C40" s="16"/>
      <c r="D40" s="17">
        <f>SUM(D39)</f>
        <v>150</v>
      </c>
      <c r="E40" s="14"/>
    </row>
    <row r="42" spans="1:9" x14ac:dyDescent="0.3">
      <c r="A42" s="9" t="s">
        <v>61</v>
      </c>
      <c r="B42" s="2"/>
      <c r="C42" s="1"/>
      <c r="F42" t="s">
        <v>55</v>
      </c>
      <c r="G42" t="s">
        <v>56</v>
      </c>
      <c r="H42" t="s">
        <v>65</v>
      </c>
    </row>
    <row r="43" spans="1:9" x14ac:dyDescent="0.3">
      <c r="A43" s="10" t="s">
        <v>32</v>
      </c>
      <c r="B43" s="11">
        <v>6.58</v>
      </c>
      <c r="C43" s="12">
        <v>1</v>
      </c>
      <c r="D43" s="10">
        <f t="shared" ref="D43" si="5">B43*C43</f>
        <v>6.58</v>
      </c>
      <c r="E43" s="18" t="s">
        <v>62</v>
      </c>
    </row>
    <row r="44" spans="1:9" x14ac:dyDescent="0.3">
      <c r="A44" s="14" t="s">
        <v>28</v>
      </c>
      <c r="B44" s="15"/>
      <c r="C44" s="16"/>
      <c r="D44" s="17">
        <f>SUM(D43)</f>
        <v>6.58</v>
      </c>
      <c r="E44" s="14"/>
    </row>
    <row r="46" spans="1:9" x14ac:dyDescent="0.3">
      <c r="A46" s="9" t="s">
        <v>63</v>
      </c>
      <c r="B46" s="2"/>
      <c r="C46" s="1"/>
      <c r="F46" t="s">
        <v>55</v>
      </c>
      <c r="G46" t="s">
        <v>56</v>
      </c>
      <c r="H46" t="s">
        <v>65</v>
      </c>
      <c r="I46" t="s">
        <v>66</v>
      </c>
    </row>
    <row r="47" spans="1:9" x14ac:dyDescent="0.3">
      <c r="A47" s="10" t="s">
        <v>15</v>
      </c>
      <c r="B47" s="11">
        <v>11.35</v>
      </c>
      <c r="C47" s="12">
        <v>4</v>
      </c>
      <c r="D47" s="13">
        <f t="shared" ref="D47" si="6">B47*C47</f>
        <v>45.4</v>
      </c>
      <c r="E47" s="18" t="s">
        <v>62</v>
      </c>
      <c r="F47" s="29"/>
    </row>
    <row r="48" spans="1:9" x14ac:dyDescent="0.3">
      <c r="A48" s="14" t="s">
        <v>28</v>
      </c>
      <c r="B48" s="15"/>
      <c r="C48" s="16"/>
      <c r="D48" s="17">
        <f>SUM(D47)</f>
        <v>45.4</v>
      </c>
      <c r="E48" s="14"/>
    </row>
    <row r="50" spans="1:7" x14ac:dyDescent="0.3">
      <c r="A50" s="9" t="s">
        <v>64</v>
      </c>
      <c r="B50" s="2"/>
      <c r="C50" s="1"/>
      <c r="F50" t="s">
        <v>55</v>
      </c>
      <c r="G50" t="s">
        <v>56</v>
      </c>
    </row>
    <row r="51" spans="1:7" x14ac:dyDescent="0.3">
      <c r="A51" s="19" t="s">
        <v>34</v>
      </c>
      <c r="B51" s="20">
        <v>11.99</v>
      </c>
      <c r="C51" s="21">
        <v>1</v>
      </c>
      <c r="D51" s="19">
        <f t="shared" ref="D51" si="7">B51*C51</f>
        <v>11.99</v>
      </c>
      <c r="E51" s="23" t="s">
        <v>62</v>
      </c>
    </row>
    <row r="52" spans="1:7" x14ac:dyDescent="0.3">
      <c r="A52" s="14" t="s">
        <v>28</v>
      </c>
      <c r="B52" s="15"/>
      <c r="C52" s="16"/>
      <c r="D52" s="17">
        <f>SUM(D51)</f>
        <v>11.99</v>
      </c>
      <c r="E52" s="14"/>
    </row>
    <row r="54" spans="1:7" ht="17.399999999999999" x14ac:dyDescent="0.35">
      <c r="A54" s="6" t="s">
        <v>53</v>
      </c>
      <c r="B54" s="7">
        <f>D15+D36+D40+D44+D48+D52</f>
        <v>691.61000000000013</v>
      </c>
    </row>
  </sheetData>
  <hyperlinks>
    <hyperlink ref="E3" r:id="rId1" xr:uid="{E982E0B5-724F-45AF-9638-A18706D8BE29}"/>
    <hyperlink ref="E4" r:id="rId2" xr:uid="{3D0C39E3-A933-41C9-90BE-9C5FC794EC48}"/>
    <hyperlink ref="E5" r:id="rId3" xr:uid="{5542053E-076A-40CC-920F-16649D139015}"/>
    <hyperlink ref="E6" r:id="rId4" xr:uid="{553B98FB-8A69-43B0-92DF-A91E263997AA}"/>
    <hyperlink ref="E7" r:id="rId5" xr:uid="{E1E7B7E4-841C-4BDF-8B31-A816946F48DD}"/>
    <hyperlink ref="E8" r:id="rId6" xr:uid="{056DDE5C-544C-4595-BF69-93408F9F9E0A}"/>
    <hyperlink ref="E9" r:id="rId7" xr:uid="{3DF93E15-831A-411D-9E01-1E54031C399D}"/>
    <hyperlink ref="E10" r:id="rId8" xr:uid="{9BA17D27-5B2E-44C2-8A9C-6F4593F9F9A6}"/>
    <hyperlink ref="E11" r:id="rId9" xr:uid="{8696314D-E918-466F-8B27-48237143C619}"/>
    <hyperlink ref="E12" r:id="rId10" xr:uid="{37100462-C5A3-4AD4-AC0B-20F16B3190BA}"/>
    <hyperlink ref="E18" r:id="rId11" xr:uid="{777B6EF6-E905-4774-9E90-FA59B0F06F25}"/>
    <hyperlink ref="E19" r:id="rId12" xr:uid="{58B85E3A-6F70-4FA5-81B6-029F3612853C}"/>
    <hyperlink ref="E20" r:id="rId13" xr:uid="{741E9A6F-FB11-4DED-BD37-5BDF87C1AA83}"/>
    <hyperlink ref="E21" r:id="rId14" xr:uid="{198EF139-FC9C-4932-8505-96AE22ED7109}"/>
    <hyperlink ref="E22" r:id="rId15" xr:uid="{E6CC28FF-11E8-4CFB-A26A-43931849DD66}"/>
    <hyperlink ref="E23" r:id="rId16" xr:uid="{C4928459-F985-4340-8B3A-761D7884D196}"/>
    <hyperlink ref="E24" r:id="rId17" xr:uid="{DCC7186F-0238-4709-9969-FC98D8B419AD}"/>
    <hyperlink ref="E25" r:id="rId18" xr:uid="{6E87D9C3-8CAE-4DDC-A46C-1ACF9EE57E43}"/>
    <hyperlink ref="E26" r:id="rId19" xr:uid="{63B1A8E0-3775-422C-98BA-89864180CC7C}"/>
    <hyperlink ref="E27" r:id="rId20" xr:uid="{8D07D71B-A291-4875-98A3-448E18FA262E}"/>
    <hyperlink ref="E28" r:id="rId21" xr:uid="{6A8AFF9C-F43A-4D77-BC32-C05B9410CE09}"/>
    <hyperlink ref="E29" r:id="rId22" xr:uid="{D28B5F18-59AD-4F52-8209-D5A3EFB381C7}"/>
    <hyperlink ref="E30" r:id="rId23" xr:uid="{EB0B9ACD-9540-4E0B-963F-4F61A36AF7F5}"/>
    <hyperlink ref="E31" r:id="rId24" xr:uid="{ADF79BE8-EFA7-45F0-AA99-20995E124F68}"/>
    <hyperlink ref="E32" r:id="rId25" xr:uid="{C2478FA4-1FE5-4AC0-9C0A-7F629D169123}"/>
    <hyperlink ref="E33" r:id="rId26" xr:uid="{21E87EAB-C32A-41B3-948D-55AC49A746F8}"/>
    <hyperlink ref="E34" r:id="rId27" xr:uid="{AE94A2E6-7417-4816-A834-69042C27CFBF}"/>
    <hyperlink ref="E35" r:id="rId28" xr:uid="{024082A0-45F4-4889-870F-391494B506B7}"/>
    <hyperlink ref="E43" r:id="rId29" xr:uid="{3E34FA00-415C-4EA3-A863-0FBF13DA0B25}"/>
    <hyperlink ref="E39" r:id="rId30" xr:uid="{A68E5D69-63FE-490B-BEF5-0FF9D23CB4BD}"/>
    <hyperlink ref="E47" r:id="rId31" xr:uid="{364E6B46-3F47-4EAB-842D-702E224B461B}"/>
    <hyperlink ref="E13" r:id="rId32" xr:uid="{C3C4C1EC-5CAE-4846-A4F7-D691EA7BB404}"/>
    <hyperlink ref="E51" r:id="rId33" xr:uid="{22AAA5DE-A2C0-484B-A120-36DB5353EA35}"/>
    <hyperlink ref="E14" r:id="rId34" xr:uid="{8D8112DC-8988-4778-A546-B467F00EEE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Category</vt:lpstr>
      <vt:lpstr>By Vendor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Thomas Weaver</dc:creator>
  <cp:keywords/>
  <dc:description/>
  <cp:lastModifiedBy>Erin Grace Anders</cp:lastModifiedBy>
  <cp:revision/>
  <dcterms:created xsi:type="dcterms:W3CDTF">2026-02-22T18:50:45Z</dcterms:created>
  <dcterms:modified xsi:type="dcterms:W3CDTF">2026-03-10T23:36:23Z</dcterms:modified>
  <cp:category/>
  <cp:contentStatus/>
</cp:coreProperties>
</file>